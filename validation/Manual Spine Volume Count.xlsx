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18"/>
  <workbookPr defaultThemeVersion="166925"/>
  <xr:revisionPtr revIDLastSave="421" documentId="11_938F63AEA912F8A9F1226AA072FDD4F2BB42EA10" xr6:coauthVersionLast="47" xr6:coauthVersionMax="47" xr10:uidLastSave="{624E198F-4136-466B-9D8E-E929ADEDF9AB}"/>
  <bookViews>
    <workbookView xWindow="240" yWindow="105" windowWidth="14805" windowHeight="8010" firstSheet="3" activeTab="3" xr2:uid="{00000000-000D-0000-FFFF-FFFF00000000}"/>
  </bookViews>
  <sheets>
    <sheet name="Trial 1" sheetId="1" r:id="rId1"/>
    <sheet name="Trial 2" sheetId="2" r:id="rId2"/>
    <sheet name="Trial 3" sheetId="3" r:id="rId3"/>
    <sheet name="Sheet1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" i="4" l="1" a="1"/>
  <c r="H35" i="4" s="1" a="1"/>
  <c r="H35" i="4" s="1"/>
  <c r="C2" i="4"/>
  <c r="H22" i="4" s="1" a="1"/>
  <c r="H22" i="4" s="1"/>
  <c r="B2" i="4" a="1"/>
  <c r="H15" i="4" s="1" a="1"/>
  <c r="H15" i="4" s="1"/>
  <c r="B2" i="4"/>
  <c r="H2" i="4" s="1" a="1"/>
  <c r="H2" i="4" s="1"/>
  <c r="C23" i="3"/>
  <c r="B23" i="3"/>
  <c r="D23" i="3" s="1"/>
  <c r="D23" i="4" s="1"/>
  <c r="C22" i="3"/>
  <c r="B22" i="3"/>
  <c r="D22" i="3" s="1"/>
  <c r="D22" i="4" s="1"/>
  <c r="C21" i="3"/>
  <c r="B21" i="3"/>
  <c r="D21" i="3" s="1"/>
  <c r="D21" i="4" s="1"/>
  <c r="C20" i="3"/>
  <c r="B20" i="3"/>
  <c r="D20" i="3" s="1"/>
  <c r="D20" i="4" s="1"/>
  <c r="C19" i="3"/>
  <c r="B19" i="3"/>
  <c r="D19" i="3" s="1"/>
  <c r="D19" i="4" s="1"/>
  <c r="C18" i="3"/>
  <c r="B18" i="3"/>
  <c r="D18" i="3" s="1"/>
  <c r="D18" i="4" s="1"/>
  <c r="C17" i="3"/>
  <c r="B17" i="3"/>
  <c r="D17" i="3" s="1"/>
  <c r="D17" i="4" s="1"/>
  <c r="C16" i="3"/>
  <c r="B16" i="3"/>
  <c r="D16" i="3" s="1"/>
  <c r="D16" i="4" s="1"/>
  <c r="H55" i="4" s="1" a="1"/>
  <c r="C15" i="3"/>
  <c r="B15" i="3"/>
  <c r="D15" i="3" s="1"/>
  <c r="D15" i="4" s="1"/>
  <c r="C14" i="3"/>
  <c r="B14" i="3"/>
  <c r="D14" i="3" s="1"/>
  <c r="D14" i="4" s="1"/>
  <c r="C13" i="3"/>
  <c r="B13" i="3"/>
  <c r="D13" i="3" s="1"/>
  <c r="D13" i="4" s="1"/>
  <c r="C12" i="3"/>
  <c r="B12" i="3"/>
  <c r="D12" i="3" s="1"/>
  <c r="D12" i="4" s="1"/>
  <c r="C11" i="3"/>
  <c r="B11" i="3"/>
  <c r="D11" i="3" s="1"/>
  <c r="D11" i="4" s="1"/>
  <c r="C10" i="3"/>
  <c r="B10" i="3"/>
  <c r="D10" i="3" s="1"/>
  <c r="D10" i="4" s="1"/>
  <c r="C9" i="3"/>
  <c r="B9" i="3"/>
  <c r="D9" i="3" s="1"/>
  <c r="D9" i="4" s="1"/>
  <c r="C8" i="3"/>
  <c r="B8" i="3"/>
  <c r="D8" i="3" s="1"/>
  <c r="D8" i="4" s="1"/>
  <c r="C7" i="3"/>
  <c r="B7" i="3"/>
  <c r="D7" i="3" s="1"/>
  <c r="D7" i="4" s="1"/>
  <c r="C6" i="3"/>
  <c r="B6" i="3"/>
  <c r="D6" i="3" s="1"/>
  <c r="D6" i="4" s="1"/>
  <c r="C5" i="3"/>
  <c r="B5" i="3"/>
  <c r="D5" i="3" s="1"/>
  <c r="D5" i="4" s="1"/>
  <c r="C4" i="3"/>
  <c r="B4" i="3"/>
  <c r="D4" i="3" s="1"/>
  <c r="D4" i="4" s="1"/>
  <c r="C3" i="3"/>
  <c r="B3" i="3"/>
  <c r="D3" i="3" s="1"/>
  <c r="D3" i="4" s="1"/>
  <c r="C2" i="3"/>
  <c r="B2" i="3"/>
  <c r="D2" i="3" s="1"/>
  <c r="D2" i="4" s="1"/>
  <c r="H42" i="4" s="1" a="1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" i="2"/>
  <c r="B3" i="2"/>
  <c r="D3" i="2" s="1"/>
  <c r="B4" i="2"/>
  <c r="D4" i="2" s="1"/>
  <c r="B5" i="2"/>
  <c r="D5" i="2" s="1"/>
  <c r="B6" i="2"/>
  <c r="D6" i="2" s="1"/>
  <c r="B7" i="2"/>
  <c r="D7" i="2" s="1"/>
  <c r="B8" i="2"/>
  <c r="D8" i="2" s="1"/>
  <c r="B9" i="2"/>
  <c r="D9" i="2" s="1"/>
  <c r="B10" i="2"/>
  <c r="D10" i="2" s="1"/>
  <c r="B11" i="2"/>
  <c r="D11" i="2" s="1"/>
  <c r="B12" i="2"/>
  <c r="D12" i="2" s="1"/>
  <c r="B13" i="2"/>
  <c r="D13" i="2" s="1"/>
  <c r="B14" i="2"/>
  <c r="D14" i="2" s="1"/>
  <c r="B15" i="2"/>
  <c r="D15" i="2" s="1"/>
  <c r="B16" i="2"/>
  <c r="D16" i="2" s="1"/>
  <c r="B17" i="2"/>
  <c r="D17" i="2" s="1"/>
  <c r="B18" i="2"/>
  <c r="D18" i="2" s="1"/>
  <c r="B19" i="2"/>
  <c r="D19" i="2" s="1"/>
  <c r="B20" i="2"/>
  <c r="D20" i="2" s="1"/>
  <c r="B21" i="2"/>
  <c r="D21" i="2" s="1"/>
  <c r="B22" i="2"/>
  <c r="D22" i="2" s="1"/>
  <c r="B23" i="2"/>
  <c r="D23" i="2" s="1"/>
  <c r="B2" i="2"/>
  <c r="D2" i="2" s="1"/>
  <c r="D2" i="1"/>
  <c r="C16" i="1"/>
  <c r="B16" i="1"/>
  <c r="D16" i="1" s="1"/>
  <c r="C15" i="1"/>
  <c r="B15" i="1"/>
  <c r="D15" i="1" s="1"/>
  <c r="D5" i="1"/>
  <c r="C7" i="1"/>
  <c r="C8" i="1"/>
  <c r="C9" i="1"/>
  <c r="C10" i="1"/>
  <c r="C11" i="1"/>
  <c r="C12" i="1"/>
  <c r="C13" i="1"/>
  <c r="C14" i="1"/>
  <c r="C17" i="1"/>
  <c r="C18" i="1"/>
  <c r="C19" i="1"/>
  <c r="C20" i="1"/>
  <c r="C21" i="1"/>
  <c r="C22" i="1"/>
  <c r="C23" i="1"/>
  <c r="C6" i="1"/>
  <c r="B7" i="1"/>
  <c r="B8" i="1"/>
  <c r="B9" i="1"/>
  <c r="B10" i="1"/>
  <c r="D10" i="1" s="1"/>
  <c r="B11" i="1"/>
  <c r="B12" i="1"/>
  <c r="B13" i="1"/>
  <c r="B14" i="1"/>
  <c r="B17" i="1"/>
  <c r="B18" i="1"/>
  <c r="B19" i="1"/>
  <c r="B20" i="1"/>
  <c r="B21" i="1"/>
  <c r="B22" i="1"/>
  <c r="B23" i="1"/>
  <c r="D23" i="1" s="1"/>
  <c r="B6" i="1"/>
  <c r="I2" i="1"/>
  <c r="I3" i="1"/>
  <c r="I4" i="1"/>
  <c r="I5" i="1"/>
  <c r="G2" i="1"/>
  <c r="H2" i="1"/>
  <c r="G3" i="1"/>
  <c r="H3" i="1"/>
  <c r="G4" i="1"/>
  <c r="H4" i="1"/>
  <c r="G5" i="1"/>
  <c r="H5" i="1"/>
  <c r="F3" i="1"/>
  <c r="F4" i="1"/>
  <c r="F5" i="1"/>
  <c r="F2" i="1"/>
  <c r="D4" i="1"/>
  <c r="D3" i="1"/>
  <c r="D22" i="1"/>
  <c r="D6" i="1"/>
  <c r="D21" i="1"/>
  <c r="D20" i="1"/>
  <c r="D19" i="1"/>
  <c r="D18" i="1"/>
  <c r="D17" i="1"/>
  <c r="D14" i="1"/>
  <c r="D13" i="1"/>
  <c r="D12" i="1"/>
  <c r="D11" i="1"/>
  <c r="D9" i="1"/>
  <c r="D8" i="1"/>
  <c r="D7" i="1"/>
  <c r="I54" i="4" l="1"/>
  <c r="I53" i="4"/>
  <c r="I52" i="4"/>
  <c r="I51" i="4"/>
  <c r="I50" i="4"/>
  <c r="I49" i="4"/>
  <c r="I48" i="4"/>
  <c r="I47" i="4"/>
  <c r="I46" i="4"/>
  <c r="I45" i="4"/>
  <c r="I44" i="4"/>
  <c r="I43" i="4"/>
  <c r="H42" i="4"/>
  <c r="I42" i="4" s="1"/>
  <c r="I61" i="4"/>
  <c r="I60" i="4"/>
  <c r="I59" i="4"/>
  <c r="I58" i="4"/>
  <c r="I57" i="4"/>
  <c r="I56" i="4"/>
  <c r="H55" i="4"/>
  <c r="I55" i="4" s="1"/>
  <c r="E2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I35" i="4" l="1" a="1"/>
  <c r="I35" i="4" s="1"/>
  <c r="I15" i="4" a="1"/>
  <c r="I22" i="4" a="1"/>
  <c r="I22" i="4" s="1"/>
  <c r="I2" i="4" a="1"/>
  <c r="I2" i="4" l="1"/>
  <c r="L14" i="4"/>
  <c r="L13" i="4"/>
  <c r="L12" i="4"/>
  <c r="L11" i="4"/>
  <c r="L10" i="4"/>
  <c r="L9" i="4"/>
  <c r="L8" i="4"/>
  <c r="L7" i="4"/>
  <c r="L6" i="4"/>
  <c r="L5" i="4"/>
  <c r="L4" i="4"/>
  <c r="L3" i="4"/>
  <c r="I15" i="4"/>
  <c r="L15" i="4" s="1"/>
  <c r="L21" i="4"/>
  <c r="L20" i="4"/>
  <c r="L19" i="4"/>
  <c r="L18" i="4"/>
  <c r="L17" i="4"/>
  <c r="L16" i="4"/>
  <c r="L2" i="4" l="1"/>
  <c r="L25" i="4" s="1"/>
  <c r="H63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<sst xmlns="http://schemas.openxmlformats.org/spreadsheetml/2006/main" count="28" uniqueCount="13">
  <si>
    <t>Spine ID</t>
  </si>
  <si>
    <t>Spine Intensity</t>
  </si>
  <si>
    <t>Dendrite Intensity</t>
  </si>
  <si>
    <t>Volume</t>
  </si>
  <si>
    <t>Spine</t>
  </si>
  <si>
    <t>Dendrite</t>
  </si>
  <si>
    <t>Trial 1</t>
  </si>
  <si>
    <t>Trial 2</t>
  </si>
  <si>
    <t>Trial 3</t>
  </si>
  <si>
    <t>Avg</t>
  </si>
  <si>
    <t>Respan value</t>
  </si>
  <si>
    <t>All trials</t>
  </si>
  <si>
    <t>Respan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</si>
</sst>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0" borderId="0" xfId="0" applyFont="1" applyFill="1" applyBorder="1" applyAlignment="1"/>
    <xf numFmtId="0" fontId="1" fillId="2" borderId="0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3"/>
          <c:order val="0"/>
          <c:tx>
            <c:strRef>
              <c:f>'Trial 1'!$D$1</c:f>
              <c:strCache>
                <c:ptCount val="1"/>
                <c:pt idx="0">
                  <c:v>Volume</c:v>
                </c:pt>
              </c:strCache>
            </c:strRef>
          </c:tx>
          <c:spPr>
            <a:solidFill>
              <a:srgbClr val="008080"/>
            </a:solidFill>
            <a:ln w="12700">
              <a:solidFill>
                <a:srgbClr val="000000"/>
              </a:solidFill>
              <a:prstDash val="solid"/>
            </a:ln>
            <a:effectLst/>
          </c:spPr>
          <c:invertIfNegative val="0"/>
          <c:cat>
            <c:numRef>
              <c:f>'Trial 1'!A2:A23</c:f>
              <c:numCache>
                <c:formatCode>General</c:formatCode>
                <c:ptCount val="22"/>
                <c:pt idx="0">
                  <c:v>19</c:v>
                </c:pt>
                <c:pt idx="1">
                  <c:v>4</c:v>
                </c:pt>
                <c:pt idx="2">
                  <c:v>21</c:v>
                </c:pt>
                <c:pt idx="3">
                  <c:v>22</c:v>
                </c:pt>
                <c:pt idx="4">
                  <c:v>3</c:v>
                </c:pt>
                <c:pt idx="5">
                  <c:v>23</c:v>
                </c:pt>
                <c:pt idx="6">
                  <c:v>5</c:v>
                </c:pt>
                <c:pt idx="7">
                  <c:v>9</c:v>
                </c:pt>
                <c:pt idx="8">
                  <c:v>30</c:v>
                </c:pt>
                <c:pt idx="9">
                  <c:v>10</c:v>
                </c:pt>
                <c:pt idx="10">
                  <c:v>24</c:v>
                </c:pt>
                <c:pt idx="11">
                  <c:v>8</c:v>
                </c:pt>
                <c:pt idx="12">
                  <c:v>28</c:v>
                </c:pt>
                <c:pt idx="13">
                  <c:v>27</c:v>
                </c:pt>
                <c:pt idx="14">
                  <c:v>38</c:v>
                </c:pt>
                <c:pt idx="15">
                  <c:v>31</c:v>
                </c:pt>
                <c:pt idx="16">
                  <c:v>32</c:v>
                </c:pt>
                <c:pt idx="17">
                  <c:v>14</c:v>
                </c:pt>
                <c:pt idx="18">
                  <c:v>39</c:v>
                </c:pt>
                <c:pt idx="19">
                  <c:v>17</c:v>
                </c:pt>
                <c:pt idx="20">
                  <c:v>16</c:v>
                </c:pt>
                <c:pt idx="21">
                  <c:v>42</c:v>
                </c:pt>
              </c:numCache>
            </c:numRef>
          </c:cat>
          <c:val>
            <c:numRef>
              <c:f>'Trial 1'!$D$2:$D$23</c:f>
              <c:numCache>
                <c:formatCode>General</c:formatCode>
                <c:ptCount val="22"/>
                <c:pt idx="0">
                  <c:v>0.9409637193079603</c:v>
                </c:pt>
                <c:pt idx="1">
                  <c:v>0.73658040762854149</c:v>
                </c:pt>
                <c:pt idx="2">
                  <c:v>0.84180234294044298</c:v>
                </c:pt>
                <c:pt idx="3">
                  <c:v>0.66495551304519085</c:v>
                </c:pt>
                <c:pt idx="4">
                  <c:v>0.9334993614303958</c:v>
                </c:pt>
                <c:pt idx="5">
                  <c:v>0.58126421800499395</c:v>
                </c:pt>
                <c:pt idx="6">
                  <c:v>0.60998159836743104</c:v>
                </c:pt>
                <c:pt idx="7">
                  <c:v>0.86059238730784438</c:v>
                </c:pt>
                <c:pt idx="8">
                  <c:v>0.43164265665991247</c:v>
                </c:pt>
                <c:pt idx="9">
                  <c:v>1.0053482737734705</c:v>
                </c:pt>
                <c:pt idx="10">
                  <c:v>0.35436595662624049</c:v>
                </c:pt>
                <c:pt idx="11">
                  <c:v>0.78638090378182235</c:v>
                </c:pt>
                <c:pt idx="12">
                  <c:v>1.3035032593912674</c:v>
                </c:pt>
                <c:pt idx="13">
                  <c:v>1.3035032593912674</c:v>
                </c:pt>
                <c:pt idx="14">
                  <c:v>0.64128730802549905</c:v>
                </c:pt>
                <c:pt idx="15">
                  <c:v>0.54955521496181003</c:v>
                </c:pt>
                <c:pt idx="16">
                  <c:v>0.78632599743169629</c:v>
                </c:pt>
                <c:pt idx="17">
                  <c:v>5.7820083932853716</c:v>
                </c:pt>
                <c:pt idx="18">
                  <c:v>0.77463496290932821</c:v>
                </c:pt>
                <c:pt idx="19">
                  <c:v>0.56843826637584682</c:v>
                </c:pt>
                <c:pt idx="20">
                  <c:v>0.66459914992615365</c:v>
                </c:pt>
                <c:pt idx="21">
                  <c:v>0.67599180891783195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FFD-42B1-875E-FFC6A5D45E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1485175304"/>
        <c:axId val="1690833416"/>
      </c:barChart>
      <c:catAx>
        <c:axId val="1485175304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Spine ID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out"/>
        <c:tickLblPos val="low"/>
        <c:spPr>
          <a:noFill/>
          <a:ln w="95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0833416"/>
        <c:crosses val="autoZero"/>
        <c:auto val="1"/>
        <c:lblAlgn val="ctr"/>
        <c:lblOffset val="100"/>
        <c:noMultiLvlLbl val="0"/>
      </c:catAx>
      <c:valAx>
        <c:axId val="1690833416"/>
        <c:scaling>
          <c:orientation val="minMax"/>
          <c:max val="1.4"/>
          <c:min val="0.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Spine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high"/>
        <c:spPr>
          <a:noFill/>
          <a:ln>
            <a:solidFill>
              <a:srgbClr val="000000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5175304"/>
        <c:crosses val="max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38100</xdr:colOff>
      <xdr:row>0</xdr:row>
      <xdr:rowOff>142875</xdr:rowOff>
    </xdr:from>
    <xdr:to>
      <xdr:col>20</xdr:col>
      <xdr:colOff>542925</xdr:colOff>
      <xdr:row>29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0C91D25-D40D-35F7-ECF8-26366C84B1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"/>
  <sheetViews>
    <sheetView workbookViewId="0">
      <selection activeCell="D2" sqref="D2"/>
    </sheetView>
  </sheetViews>
  <sheetFormatPr defaultRowHeight="15"/>
  <cols>
    <col min="2" max="2" width="13.5703125" customWidth="1"/>
    <col min="3" max="3" width="16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F1" t="s">
        <v>4</v>
      </c>
      <c r="H1" t="s">
        <v>5</v>
      </c>
    </row>
    <row r="2" spans="1:9">
      <c r="A2">
        <v>19</v>
      </c>
      <c r="B2">
        <v>591.35900000000004</v>
      </c>
      <c r="C2">
        <v>628.46100000000001</v>
      </c>
      <c r="D2">
        <f>B2/C2</f>
        <v>0.9409637193079603</v>
      </c>
      <c r="F2" t="str">
        <f>"x"</f>
        <v>x</v>
      </c>
      <c r="G2" t="str">
        <f t="shared" ref="G2:H2" si="0">"x"</f>
        <v>x</v>
      </c>
      <c r="H2" t="str">
        <f t="shared" si="0"/>
        <v>x</v>
      </c>
      <c r="I2" t="str">
        <f>"x"</f>
        <v>x</v>
      </c>
    </row>
    <row r="3" spans="1:9">
      <c r="A3">
        <v>4</v>
      </c>
      <c r="B3">
        <v>489.15199999999999</v>
      </c>
      <c r="C3">
        <v>664.08500000000004</v>
      </c>
      <c r="D3">
        <f>B3/C3</f>
        <v>0.73658040762854149</v>
      </c>
      <c r="F3" t="str">
        <f t="shared" ref="F3:I5" si="1">"x"</f>
        <v>x</v>
      </c>
      <c r="G3" t="str">
        <f t="shared" si="1"/>
        <v>x</v>
      </c>
      <c r="H3" t="str">
        <f t="shared" si="1"/>
        <v>x</v>
      </c>
      <c r="I3" t="str">
        <f t="shared" si="1"/>
        <v>x</v>
      </c>
    </row>
    <row r="4" spans="1:9">
      <c r="A4">
        <v>21</v>
      </c>
      <c r="B4">
        <v>479.29700000000003</v>
      </c>
      <c r="C4">
        <v>569.37</v>
      </c>
      <c r="D4">
        <f>B4/C4</f>
        <v>0.84180234294044298</v>
      </c>
      <c r="F4" t="str">
        <f t="shared" si="1"/>
        <v>x</v>
      </c>
      <c r="G4" t="str">
        <f t="shared" si="1"/>
        <v>x</v>
      </c>
      <c r="H4" t="str">
        <f t="shared" si="1"/>
        <v>x</v>
      </c>
      <c r="I4" t="str">
        <f t="shared" si="1"/>
        <v>x</v>
      </c>
    </row>
    <row r="5" spans="1:9">
      <c r="A5">
        <v>22</v>
      </c>
      <c r="B5">
        <v>364.637</v>
      </c>
      <c r="C5">
        <v>548.36300000000006</v>
      </c>
      <c r="D5">
        <f>B5/C5</f>
        <v>0.66495551304519085</v>
      </c>
      <c r="F5" t="str">
        <f t="shared" si="1"/>
        <v>x</v>
      </c>
      <c r="G5" t="str">
        <f t="shared" si="1"/>
        <v>x</v>
      </c>
      <c r="H5" t="str">
        <f t="shared" si="1"/>
        <v>x</v>
      </c>
      <c r="I5" t="str">
        <f t="shared" si="1"/>
        <v>x</v>
      </c>
    </row>
    <row r="6" spans="1:9">
      <c r="A6">
        <v>3</v>
      </c>
      <c r="B6">
        <f>G6</f>
        <v>730.93</v>
      </c>
      <c r="C6">
        <f>I6</f>
        <v>783</v>
      </c>
      <c r="D6">
        <f>B6/C6</f>
        <v>0.9334993614303958</v>
      </c>
      <c r="F6">
        <v>22</v>
      </c>
      <c r="G6">
        <v>730.93</v>
      </c>
      <c r="H6">
        <v>34</v>
      </c>
      <c r="I6">
        <v>783</v>
      </c>
    </row>
    <row r="7" spans="1:9">
      <c r="A7">
        <v>23</v>
      </c>
      <c r="B7">
        <f t="shared" ref="B7:B23" si="2">G7</f>
        <v>460.69200000000001</v>
      </c>
      <c r="C7">
        <f t="shared" ref="C7:C23" si="3">I7</f>
        <v>792.56899999999996</v>
      </c>
      <c r="D7">
        <f>B7/C7</f>
        <v>0.58126421800499395</v>
      </c>
      <c r="F7">
        <v>20</v>
      </c>
      <c r="G7">
        <v>460.69200000000001</v>
      </c>
      <c r="H7">
        <v>34</v>
      </c>
      <c r="I7">
        <v>792.56899999999996</v>
      </c>
    </row>
    <row r="8" spans="1:9">
      <c r="A8">
        <v>5</v>
      </c>
      <c r="B8">
        <f t="shared" si="2"/>
        <v>450.15300000000002</v>
      </c>
      <c r="C8">
        <f t="shared" si="3"/>
        <v>737.97799999999995</v>
      </c>
      <c r="D8">
        <f>B8/C8</f>
        <v>0.60998159836743104</v>
      </c>
      <c r="F8">
        <v>36</v>
      </c>
      <c r="G8">
        <v>450.15300000000002</v>
      </c>
      <c r="H8">
        <v>50</v>
      </c>
      <c r="I8">
        <v>737.97799999999995</v>
      </c>
    </row>
    <row r="9" spans="1:9">
      <c r="A9">
        <v>9</v>
      </c>
      <c r="B9">
        <f t="shared" si="2"/>
        <v>688.14</v>
      </c>
      <c r="C9">
        <f t="shared" si="3"/>
        <v>799.61199999999997</v>
      </c>
      <c r="D9">
        <f>B9/C9</f>
        <v>0.86059238730784438</v>
      </c>
      <c r="F9">
        <v>32</v>
      </c>
      <c r="G9">
        <v>688.14</v>
      </c>
      <c r="H9">
        <v>50</v>
      </c>
      <c r="I9">
        <v>799.61199999999997</v>
      </c>
    </row>
    <row r="10" spans="1:9">
      <c r="A10">
        <v>30</v>
      </c>
      <c r="B10">
        <f t="shared" si="2"/>
        <v>310.803</v>
      </c>
      <c r="C10">
        <f t="shared" si="3"/>
        <v>720.04700000000003</v>
      </c>
      <c r="D10">
        <f>B10/C10</f>
        <v>0.43164265665991247</v>
      </c>
      <c r="F10">
        <v>13</v>
      </c>
      <c r="G10">
        <v>310.803</v>
      </c>
      <c r="H10">
        <v>25</v>
      </c>
      <c r="I10">
        <v>720.04700000000003</v>
      </c>
    </row>
    <row r="11" spans="1:9">
      <c r="A11">
        <v>10</v>
      </c>
      <c r="B11">
        <f t="shared" si="2"/>
        <v>829.91499999999996</v>
      </c>
      <c r="C11">
        <f t="shared" si="3"/>
        <v>825.5</v>
      </c>
      <c r="D11">
        <f>B11/C11</f>
        <v>1.0053482737734705</v>
      </c>
      <c r="F11">
        <v>30</v>
      </c>
      <c r="G11">
        <v>829.91499999999996</v>
      </c>
      <c r="H11">
        <v>43</v>
      </c>
      <c r="I11">
        <v>825.5</v>
      </c>
    </row>
    <row r="12" spans="1:9">
      <c r="A12">
        <v>24</v>
      </c>
      <c r="B12">
        <f t="shared" si="2"/>
        <v>257.27499999999998</v>
      </c>
      <c r="C12">
        <f t="shared" si="3"/>
        <v>726.01499999999999</v>
      </c>
      <c r="D12">
        <f>B12/C12</f>
        <v>0.35436595662624049</v>
      </c>
      <c r="F12">
        <v>46</v>
      </c>
      <c r="G12">
        <v>257.27499999999998</v>
      </c>
      <c r="H12">
        <v>61</v>
      </c>
      <c r="I12">
        <v>726.01499999999999</v>
      </c>
    </row>
    <row r="13" spans="1:9">
      <c r="A13">
        <v>8</v>
      </c>
      <c r="B13">
        <f t="shared" si="2"/>
        <v>485.42899999999997</v>
      </c>
      <c r="C13">
        <f t="shared" si="3"/>
        <v>617.29499999999996</v>
      </c>
      <c r="D13">
        <f>B13/C13</f>
        <v>0.78638090378182235</v>
      </c>
      <c r="F13">
        <v>22</v>
      </c>
      <c r="G13">
        <v>485.42899999999997</v>
      </c>
      <c r="H13">
        <v>46</v>
      </c>
      <c r="I13">
        <v>617.29499999999996</v>
      </c>
    </row>
    <row r="14" spans="1:9">
      <c r="A14">
        <v>28</v>
      </c>
      <c r="B14">
        <f t="shared" si="2"/>
        <v>833.83799999999997</v>
      </c>
      <c r="C14">
        <f t="shared" si="3"/>
        <v>639.69000000000005</v>
      </c>
      <c r="D14">
        <f>B14/C14</f>
        <v>1.3035032593912674</v>
      </c>
      <c r="F14">
        <v>31</v>
      </c>
      <c r="G14">
        <v>833.83799999999997</v>
      </c>
      <c r="H14">
        <v>43</v>
      </c>
      <c r="I14">
        <v>639.69000000000005</v>
      </c>
    </row>
    <row r="15" spans="1:9">
      <c r="A15">
        <v>27</v>
      </c>
      <c r="B15">
        <f t="shared" si="2"/>
        <v>833.83799999999997</v>
      </c>
      <c r="C15">
        <f>I15</f>
        <v>639.69000000000005</v>
      </c>
      <c r="D15">
        <f>B15/C15</f>
        <v>1.3035032593912674</v>
      </c>
      <c r="F15">
        <v>31</v>
      </c>
      <c r="G15">
        <v>833.83799999999997</v>
      </c>
      <c r="H15">
        <v>43</v>
      </c>
      <c r="I15">
        <v>639.69000000000005</v>
      </c>
    </row>
    <row r="16" spans="1:9">
      <c r="A16">
        <v>38</v>
      </c>
      <c r="B16">
        <f t="shared" si="2"/>
        <v>400.48200000000003</v>
      </c>
      <c r="C16">
        <f>I16</f>
        <v>624.49699999999996</v>
      </c>
      <c r="D16">
        <f>B16/C16</f>
        <v>0.64128730802549905</v>
      </c>
      <c r="F16">
        <v>15</v>
      </c>
      <c r="G16">
        <v>400.48200000000003</v>
      </c>
      <c r="H16">
        <v>25</v>
      </c>
      <c r="I16">
        <v>624.49699999999996</v>
      </c>
    </row>
    <row r="17" spans="1:9">
      <c r="A17">
        <v>31</v>
      </c>
      <c r="B17">
        <f t="shared" si="2"/>
        <v>389.755</v>
      </c>
      <c r="C17">
        <f t="shared" si="3"/>
        <v>709.21900000000005</v>
      </c>
      <c r="D17">
        <f>B17/C17</f>
        <v>0.54955521496181003</v>
      </c>
      <c r="F17">
        <v>15</v>
      </c>
      <c r="G17">
        <v>389.755</v>
      </c>
      <c r="H17">
        <v>28</v>
      </c>
      <c r="I17">
        <v>709.21900000000005</v>
      </c>
    </row>
    <row r="18" spans="1:9">
      <c r="A18">
        <v>32</v>
      </c>
      <c r="B18">
        <f t="shared" si="2"/>
        <v>443.94</v>
      </c>
      <c r="C18">
        <f t="shared" si="3"/>
        <v>564.57500000000005</v>
      </c>
      <c r="D18">
        <f>B18/C18</f>
        <v>0.78632599743169629</v>
      </c>
      <c r="F18">
        <v>23</v>
      </c>
      <c r="G18">
        <v>443.94</v>
      </c>
      <c r="H18">
        <v>43</v>
      </c>
      <c r="I18">
        <v>564.57500000000005</v>
      </c>
    </row>
    <row r="19" spans="1:9">
      <c r="A19">
        <v>14</v>
      </c>
      <c r="B19">
        <f t="shared" si="2"/>
        <v>4822.1949999999997</v>
      </c>
      <c r="C19">
        <f t="shared" si="3"/>
        <v>834</v>
      </c>
      <c r="D19">
        <f>B19/C19</f>
        <v>5.7820083932853716</v>
      </c>
      <c r="F19">
        <v>10</v>
      </c>
      <c r="G19">
        <v>4822.1949999999997</v>
      </c>
      <c r="H19">
        <v>44</v>
      </c>
      <c r="I19">
        <v>834</v>
      </c>
    </row>
    <row r="20" spans="1:9">
      <c r="A20">
        <v>39</v>
      </c>
      <c r="B20">
        <f t="shared" si="2"/>
        <v>432.21300000000002</v>
      </c>
      <c r="C20">
        <f t="shared" si="3"/>
        <v>557.95699999999999</v>
      </c>
      <c r="D20">
        <f>B20/C20</f>
        <v>0.77463496290932821</v>
      </c>
      <c r="F20">
        <v>11</v>
      </c>
      <c r="G20">
        <v>432.21300000000002</v>
      </c>
      <c r="H20">
        <v>22</v>
      </c>
      <c r="I20">
        <v>557.95699999999999</v>
      </c>
    </row>
    <row r="21" spans="1:9">
      <c r="A21">
        <v>17</v>
      </c>
      <c r="B21">
        <f t="shared" si="2"/>
        <v>511.32499999999999</v>
      </c>
      <c r="C21">
        <f t="shared" si="3"/>
        <v>899.52599999999995</v>
      </c>
      <c r="D21">
        <f>B21/C21</f>
        <v>0.56843826637584682</v>
      </c>
      <c r="F21">
        <v>13</v>
      </c>
      <c r="G21">
        <v>511.32499999999999</v>
      </c>
      <c r="H21">
        <v>29</v>
      </c>
      <c r="I21">
        <v>899.52599999999995</v>
      </c>
    </row>
    <row r="22" spans="1:9">
      <c r="A22">
        <v>16</v>
      </c>
      <c r="B22">
        <f t="shared" si="2"/>
        <v>493.637</v>
      </c>
      <c r="C22">
        <f t="shared" si="3"/>
        <v>823.19100000000003</v>
      </c>
      <c r="D22">
        <f>B22/C23</f>
        <v>0.66459914992615365</v>
      </c>
      <c r="F22">
        <v>24</v>
      </c>
      <c r="G22">
        <v>493.637</v>
      </c>
      <c r="H22">
        <v>32</v>
      </c>
      <c r="I22">
        <v>823.19100000000003</v>
      </c>
    </row>
    <row r="23" spans="1:9">
      <c r="A23">
        <v>42</v>
      </c>
      <c r="B23">
        <f t="shared" si="2"/>
        <v>502.09899999999999</v>
      </c>
      <c r="C23">
        <f t="shared" si="3"/>
        <v>742.75900000000001</v>
      </c>
      <c r="D23">
        <f>B23/C23</f>
        <v>0.67599180891783195</v>
      </c>
      <c r="F23">
        <v>10</v>
      </c>
      <c r="G23">
        <v>502.09899999999999</v>
      </c>
      <c r="H23">
        <v>16</v>
      </c>
      <c r="I23">
        <v>742.75900000000001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C0A5B-3522-4D38-931E-6F8240D0970D}">
  <dimension ref="A1:I23"/>
  <sheetViews>
    <sheetView workbookViewId="0">
      <selection activeCell="E43" sqref="E43"/>
    </sheetView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F1" t="s">
        <v>4</v>
      </c>
      <c r="H1" t="s">
        <v>5</v>
      </c>
    </row>
    <row r="2" spans="1:9">
      <c r="A2">
        <v>19</v>
      </c>
      <c r="B2">
        <f>G2</f>
        <v>589.41899999999998</v>
      </c>
      <c r="C2">
        <f>I2</f>
        <v>777.98299999999995</v>
      </c>
      <c r="D2">
        <f>B2/C2</f>
        <v>0.75762452392918611</v>
      </c>
      <c r="F2">
        <v>1.296</v>
      </c>
      <c r="G2">
        <v>589.41899999999998</v>
      </c>
      <c r="H2">
        <v>4.4279999999999999</v>
      </c>
      <c r="I2">
        <v>777.98299999999995</v>
      </c>
    </row>
    <row r="3" spans="1:9">
      <c r="A3">
        <v>4</v>
      </c>
      <c r="B3">
        <f t="shared" ref="B3:B23" si="0">G3</f>
        <v>492.96800000000002</v>
      </c>
      <c r="C3">
        <f t="shared" ref="C3:C23" si="1">I3</f>
        <v>680.05</v>
      </c>
      <c r="D3">
        <f t="shared" ref="D3:D23" si="2">B3/C3</f>
        <v>0.7248996397323727</v>
      </c>
      <c r="F3">
        <v>1.8360000000000001</v>
      </c>
      <c r="G3">
        <v>492.96800000000002</v>
      </c>
      <c r="H3">
        <v>2.9159999999999999</v>
      </c>
      <c r="I3">
        <v>680.05</v>
      </c>
    </row>
    <row r="4" spans="1:9">
      <c r="A4">
        <v>21</v>
      </c>
      <c r="B4">
        <f t="shared" si="0"/>
        <v>478.16300000000001</v>
      </c>
      <c r="C4">
        <f t="shared" si="1"/>
        <v>562.88499999999999</v>
      </c>
      <c r="D4">
        <f t="shared" si="2"/>
        <v>0.84948612949359104</v>
      </c>
      <c r="F4">
        <v>1.944</v>
      </c>
      <c r="G4">
        <v>478.16300000000001</v>
      </c>
      <c r="H4">
        <v>3.456</v>
      </c>
      <c r="I4">
        <v>562.88499999999999</v>
      </c>
    </row>
    <row r="5" spans="1:9">
      <c r="A5">
        <v>22</v>
      </c>
      <c r="B5">
        <f t="shared" si="0"/>
        <v>373.21699999999998</v>
      </c>
      <c r="C5">
        <f t="shared" si="1"/>
        <v>700.76700000000005</v>
      </c>
      <c r="D5">
        <f t="shared" si="2"/>
        <v>0.53258358341645651</v>
      </c>
      <c r="F5">
        <v>2.052</v>
      </c>
      <c r="G5">
        <v>373.21699999999998</v>
      </c>
      <c r="H5">
        <v>4.4279999999999999</v>
      </c>
      <c r="I5">
        <v>700.76700000000005</v>
      </c>
    </row>
    <row r="6" spans="1:9">
      <c r="A6">
        <v>3</v>
      </c>
      <c r="B6">
        <f t="shared" si="0"/>
        <v>751.71900000000005</v>
      </c>
      <c r="C6">
        <f t="shared" si="1"/>
        <v>754.73299999999995</v>
      </c>
      <c r="D6">
        <f t="shared" si="2"/>
        <v>0.99600653476129986</v>
      </c>
      <c r="F6">
        <v>2.2679999999999998</v>
      </c>
      <c r="G6">
        <v>751.71900000000005</v>
      </c>
      <c r="H6">
        <v>3.6720000000000002</v>
      </c>
      <c r="I6">
        <v>754.73299999999995</v>
      </c>
    </row>
    <row r="7" spans="1:9">
      <c r="A7">
        <v>23</v>
      </c>
      <c r="B7">
        <f t="shared" si="0"/>
        <v>458.30799999999999</v>
      </c>
      <c r="C7">
        <f t="shared" si="1"/>
        <v>796.98</v>
      </c>
      <c r="D7">
        <f t="shared" si="2"/>
        <v>0.57505583578006969</v>
      </c>
      <c r="F7">
        <v>1.4039999999999999</v>
      </c>
      <c r="G7">
        <v>458.30799999999999</v>
      </c>
      <c r="H7">
        <v>2.9159999999999999</v>
      </c>
      <c r="I7">
        <v>796.98</v>
      </c>
    </row>
    <row r="8" spans="1:9">
      <c r="A8">
        <v>5</v>
      </c>
      <c r="B8">
        <f t="shared" si="0"/>
        <v>453.14299999999997</v>
      </c>
      <c r="C8">
        <f t="shared" si="1"/>
        <v>753.63699999999994</v>
      </c>
      <c r="D8">
        <f t="shared" si="2"/>
        <v>0.60127488432760068</v>
      </c>
      <c r="F8">
        <v>1.728</v>
      </c>
      <c r="G8">
        <v>453.14299999999997</v>
      </c>
      <c r="H8">
        <v>3.24</v>
      </c>
      <c r="I8">
        <v>753.63699999999994</v>
      </c>
    </row>
    <row r="9" spans="1:9">
      <c r="A9">
        <v>9</v>
      </c>
      <c r="B9">
        <f t="shared" si="0"/>
        <v>661.428</v>
      </c>
      <c r="C9">
        <f t="shared" si="1"/>
        <v>856.19299999999998</v>
      </c>
      <c r="D9">
        <f t="shared" si="2"/>
        <v>0.77252208322189042</v>
      </c>
      <c r="F9">
        <v>2.3759999999999999</v>
      </c>
      <c r="G9">
        <v>661.428</v>
      </c>
      <c r="H9">
        <v>4.5359999999999996</v>
      </c>
      <c r="I9">
        <v>856.19299999999998</v>
      </c>
    </row>
    <row r="10" spans="1:9">
      <c r="A10">
        <v>30</v>
      </c>
      <c r="B10">
        <f t="shared" si="0"/>
        <v>318.13499999999999</v>
      </c>
      <c r="C10">
        <f t="shared" si="1"/>
        <v>724.04700000000003</v>
      </c>
      <c r="D10">
        <f t="shared" si="2"/>
        <v>0.43938445984860097</v>
      </c>
      <c r="F10">
        <v>0.86399999999999999</v>
      </c>
      <c r="G10">
        <v>318.13499999999999</v>
      </c>
      <c r="H10">
        <v>2.052</v>
      </c>
      <c r="I10">
        <v>724.04700000000003</v>
      </c>
    </row>
    <row r="11" spans="1:9">
      <c r="A11">
        <v>10</v>
      </c>
      <c r="B11">
        <f t="shared" si="0"/>
        <v>830.95399999999995</v>
      </c>
      <c r="C11">
        <f t="shared" si="1"/>
        <v>830.88499999999999</v>
      </c>
      <c r="D11">
        <f t="shared" si="2"/>
        <v>1.0000830439832227</v>
      </c>
      <c r="F11">
        <v>2.2679999999999998</v>
      </c>
      <c r="G11">
        <v>830.95399999999995</v>
      </c>
      <c r="H11">
        <v>3.5640000000000001</v>
      </c>
      <c r="I11">
        <v>830.88499999999999</v>
      </c>
    </row>
    <row r="12" spans="1:9">
      <c r="A12">
        <v>24</v>
      </c>
      <c r="B12">
        <f t="shared" si="0"/>
        <v>266.62900000000002</v>
      </c>
      <c r="C12">
        <f t="shared" si="1"/>
        <v>739.875</v>
      </c>
      <c r="D12">
        <f t="shared" si="2"/>
        <v>0.360370332826491</v>
      </c>
      <c r="F12">
        <v>1.1879999999999999</v>
      </c>
      <c r="G12">
        <v>266.62900000000002</v>
      </c>
      <c r="H12">
        <v>2.9159999999999999</v>
      </c>
      <c r="I12">
        <v>739.875</v>
      </c>
    </row>
    <row r="13" spans="1:9">
      <c r="A13">
        <v>8</v>
      </c>
      <c r="B13">
        <f t="shared" si="0"/>
        <v>499.25299999999999</v>
      </c>
      <c r="C13">
        <f t="shared" si="1"/>
        <v>632.32100000000003</v>
      </c>
      <c r="D13">
        <f t="shared" si="2"/>
        <v>0.78955625386473005</v>
      </c>
      <c r="F13">
        <v>2.484</v>
      </c>
      <c r="G13">
        <v>499.25299999999999</v>
      </c>
      <c r="H13">
        <v>5.6159999999999997</v>
      </c>
      <c r="I13">
        <v>632.32100000000003</v>
      </c>
    </row>
    <row r="14" spans="1:9">
      <c r="A14">
        <v>28</v>
      </c>
      <c r="B14">
        <f t="shared" si="0"/>
        <v>848.56200000000001</v>
      </c>
      <c r="C14">
        <f t="shared" si="1"/>
        <v>704.04</v>
      </c>
      <c r="D14">
        <f t="shared" si="2"/>
        <v>1.2052752684506562</v>
      </c>
      <c r="F14">
        <v>2.052</v>
      </c>
      <c r="G14">
        <v>848.56200000000001</v>
      </c>
      <c r="H14">
        <v>3.3479999999999999</v>
      </c>
      <c r="I14">
        <v>704.04</v>
      </c>
    </row>
    <row r="15" spans="1:9">
      <c r="A15">
        <v>27</v>
      </c>
      <c r="B15">
        <f t="shared" si="0"/>
        <v>848.56200000000001</v>
      </c>
      <c r="C15">
        <f t="shared" si="1"/>
        <v>704.04</v>
      </c>
      <c r="D15">
        <f t="shared" si="2"/>
        <v>1.2052752684506562</v>
      </c>
      <c r="F15">
        <v>2.052</v>
      </c>
      <c r="G15">
        <v>848.56200000000001</v>
      </c>
      <c r="H15">
        <v>3.3479999999999999</v>
      </c>
      <c r="I15">
        <v>704.04</v>
      </c>
    </row>
    <row r="16" spans="1:9">
      <c r="A16">
        <v>38</v>
      </c>
      <c r="B16">
        <f t="shared" si="0"/>
        <v>387.714</v>
      </c>
      <c r="C16">
        <f t="shared" si="1"/>
        <v>659.97400000000005</v>
      </c>
      <c r="D16">
        <f t="shared" si="2"/>
        <v>0.58746859724777034</v>
      </c>
      <c r="F16">
        <v>1.728</v>
      </c>
      <c r="G16">
        <v>387.714</v>
      </c>
      <c r="H16">
        <v>3.1320000000000001</v>
      </c>
      <c r="I16">
        <v>659.97400000000005</v>
      </c>
    </row>
    <row r="17" spans="1:9">
      <c r="A17">
        <v>31</v>
      </c>
      <c r="B17">
        <f t="shared" si="0"/>
        <v>395.89</v>
      </c>
      <c r="C17">
        <f t="shared" si="1"/>
        <v>701.83699999999999</v>
      </c>
      <c r="D17">
        <f t="shared" si="2"/>
        <v>0.56407684405353375</v>
      </c>
      <c r="F17">
        <v>0.97199999999999998</v>
      </c>
      <c r="G17">
        <v>395.89</v>
      </c>
      <c r="H17">
        <v>2.3759999999999999</v>
      </c>
      <c r="I17">
        <v>701.83699999999999</v>
      </c>
    </row>
    <row r="18" spans="1:9">
      <c r="A18">
        <v>32</v>
      </c>
      <c r="B18">
        <f t="shared" si="0"/>
        <v>381.666</v>
      </c>
      <c r="C18">
        <f t="shared" si="1"/>
        <v>575.15499999999997</v>
      </c>
      <c r="D18">
        <f t="shared" si="2"/>
        <v>0.66358807625770444</v>
      </c>
      <c r="F18">
        <v>1.4039999999999999</v>
      </c>
      <c r="G18">
        <v>381.666</v>
      </c>
      <c r="H18">
        <v>3.5640000000000001</v>
      </c>
      <c r="I18">
        <v>575.15499999999997</v>
      </c>
    </row>
    <row r="19" spans="1:9">
      <c r="A19">
        <v>14</v>
      </c>
      <c r="B19">
        <f t="shared" si="0"/>
        <v>3797.694</v>
      </c>
      <c r="C19">
        <f t="shared" si="1"/>
        <v>851.39499999999998</v>
      </c>
      <c r="D19">
        <f t="shared" si="2"/>
        <v>4.4605547366381053</v>
      </c>
      <c r="F19">
        <v>1.1879999999999999</v>
      </c>
      <c r="G19">
        <v>3797.694</v>
      </c>
      <c r="H19">
        <v>4.6440000000000001</v>
      </c>
      <c r="I19">
        <v>851.39499999999998</v>
      </c>
    </row>
    <row r="20" spans="1:9">
      <c r="A20">
        <v>39</v>
      </c>
      <c r="B20">
        <f t="shared" si="0"/>
        <v>416.733</v>
      </c>
      <c r="C20">
        <f t="shared" si="1"/>
        <v>566.86699999999996</v>
      </c>
      <c r="D20">
        <f t="shared" si="2"/>
        <v>0.73515127887141085</v>
      </c>
      <c r="F20">
        <v>1.4039999999999999</v>
      </c>
      <c r="G20">
        <v>416.733</v>
      </c>
      <c r="H20">
        <v>2.484</v>
      </c>
      <c r="I20">
        <v>566.86699999999996</v>
      </c>
    </row>
    <row r="21" spans="1:9">
      <c r="A21">
        <v>17</v>
      </c>
      <c r="B21">
        <f t="shared" si="0"/>
        <v>520.32100000000003</v>
      </c>
      <c r="C21">
        <f t="shared" si="1"/>
        <v>763</v>
      </c>
      <c r="D21">
        <f t="shared" si="2"/>
        <v>0.68194102228047182</v>
      </c>
      <c r="F21">
        <v>1.728</v>
      </c>
      <c r="G21">
        <v>520.32100000000003</v>
      </c>
      <c r="H21">
        <v>3.24</v>
      </c>
      <c r="I21">
        <v>763</v>
      </c>
    </row>
    <row r="22" spans="1:9">
      <c r="A22">
        <v>16</v>
      </c>
      <c r="B22">
        <f t="shared" si="0"/>
        <v>528.04999999999995</v>
      </c>
      <c r="C22">
        <f t="shared" si="1"/>
        <v>823.86599999999999</v>
      </c>
      <c r="D22">
        <f t="shared" si="2"/>
        <v>0.64094160943648604</v>
      </c>
      <c r="F22">
        <v>1.512</v>
      </c>
      <c r="G22">
        <v>528.04999999999995</v>
      </c>
      <c r="H22">
        <v>2.3759999999999999</v>
      </c>
      <c r="I22">
        <v>823.86599999999999</v>
      </c>
    </row>
    <row r="23" spans="1:9">
      <c r="A23">
        <v>42</v>
      </c>
      <c r="B23">
        <f t="shared" si="0"/>
        <v>0</v>
      </c>
      <c r="C23">
        <f t="shared" si="1"/>
        <v>0</v>
      </c>
      <c r="D23" t="e">
        <f t="shared" si="2"/>
        <v>#DIV/0!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CA9E4-57BD-405C-963A-91445F5E2A98}">
  <dimension ref="A1:I23"/>
  <sheetViews>
    <sheetView workbookViewId="0">
      <selection activeCell="J23" sqref="J23"/>
    </sheetView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F1" t="s">
        <v>4</v>
      </c>
      <c r="H1" t="s">
        <v>5</v>
      </c>
    </row>
    <row r="2" spans="1:9">
      <c r="A2">
        <v>19</v>
      </c>
      <c r="B2">
        <f>G2</f>
        <v>542.08299999999997</v>
      </c>
      <c r="C2">
        <f>I2</f>
        <v>783.02200000000005</v>
      </c>
      <c r="D2">
        <f>B2/C2</f>
        <v>0.69229600190032969</v>
      </c>
      <c r="F2">
        <v>0.97199999999999998</v>
      </c>
      <c r="G2">
        <v>542.08299999999997</v>
      </c>
      <c r="H2">
        <v>4.2119999999999997</v>
      </c>
      <c r="I2">
        <v>783.02200000000005</v>
      </c>
    </row>
    <row r="3" spans="1:9">
      <c r="A3">
        <v>4</v>
      </c>
      <c r="B3">
        <f t="shared" ref="B3:B23" si="0">G3</f>
        <v>495.75299999999999</v>
      </c>
      <c r="C3">
        <f t="shared" ref="C3:C23" si="1">I3</f>
        <v>715.55100000000004</v>
      </c>
      <c r="D3">
        <f t="shared" ref="D3:D23" si="2">B3/C3</f>
        <v>0.69282692638260579</v>
      </c>
      <c r="F3">
        <v>1.8360000000000001</v>
      </c>
      <c r="G3">
        <v>495.75299999999999</v>
      </c>
      <c r="H3">
        <v>3.24</v>
      </c>
      <c r="I3">
        <v>715.55100000000004</v>
      </c>
    </row>
    <row r="4" spans="1:9">
      <c r="A4">
        <v>21</v>
      </c>
      <c r="B4">
        <f t="shared" si="0"/>
        <v>469.94600000000003</v>
      </c>
      <c r="C4">
        <f t="shared" si="1"/>
        <v>564.62699999999995</v>
      </c>
      <c r="D4">
        <f t="shared" si="2"/>
        <v>0.83231230529181222</v>
      </c>
      <c r="F4">
        <v>2.2679999999999998</v>
      </c>
      <c r="G4">
        <v>469.94600000000003</v>
      </c>
      <c r="H4">
        <v>3.78</v>
      </c>
      <c r="I4">
        <v>564.62699999999995</v>
      </c>
    </row>
    <row r="5" spans="1:9">
      <c r="A5">
        <v>22</v>
      </c>
      <c r="B5">
        <f t="shared" si="0"/>
        <v>391.709</v>
      </c>
      <c r="C5">
        <f t="shared" si="1"/>
        <v>562.09799999999996</v>
      </c>
      <c r="D5">
        <f t="shared" si="2"/>
        <v>0.69686958501898255</v>
      </c>
      <c r="F5">
        <v>1.296</v>
      </c>
      <c r="G5">
        <v>391.709</v>
      </c>
      <c r="H5">
        <v>3.78</v>
      </c>
      <c r="I5">
        <v>562.09799999999996</v>
      </c>
    </row>
    <row r="6" spans="1:9">
      <c r="A6">
        <v>3</v>
      </c>
      <c r="B6">
        <f t="shared" si="0"/>
        <v>715.89700000000005</v>
      </c>
      <c r="C6">
        <f t="shared" si="1"/>
        <v>821.81700000000001</v>
      </c>
      <c r="D6">
        <f t="shared" si="2"/>
        <v>0.87111485890411133</v>
      </c>
      <c r="F6">
        <v>1.944</v>
      </c>
      <c r="G6">
        <v>715.89700000000005</v>
      </c>
      <c r="H6">
        <v>3.24</v>
      </c>
      <c r="I6">
        <v>821.81700000000001</v>
      </c>
    </row>
    <row r="7" spans="1:9">
      <c r="A7">
        <v>23</v>
      </c>
      <c r="B7">
        <f t="shared" si="0"/>
        <v>451.69200000000001</v>
      </c>
      <c r="C7">
        <f t="shared" si="1"/>
        <v>784.7</v>
      </c>
      <c r="D7">
        <f t="shared" si="2"/>
        <v>0.57562380527590162</v>
      </c>
      <c r="F7">
        <v>1.512</v>
      </c>
      <c r="G7">
        <v>451.69200000000001</v>
      </c>
      <c r="H7">
        <v>2.9159999999999999</v>
      </c>
      <c r="I7">
        <v>784.7</v>
      </c>
    </row>
    <row r="8" spans="1:9">
      <c r="A8">
        <v>5</v>
      </c>
      <c r="B8">
        <f t="shared" si="0"/>
        <v>438.09500000000003</v>
      </c>
      <c r="C8">
        <f t="shared" si="1"/>
        <v>744.37900000000002</v>
      </c>
      <c r="D8">
        <f t="shared" si="2"/>
        <v>0.58853755949590203</v>
      </c>
      <c r="F8">
        <v>0.97199999999999998</v>
      </c>
      <c r="G8">
        <v>438.09500000000003</v>
      </c>
      <c r="H8">
        <v>2.5920000000000001</v>
      </c>
      <c r="I8">
        <v>744.37900000000002</v>
      </c>
    </row>
    <row r="9" spans="1:9">
      <c r="A9">
        <v>9</v>
      </c>
      <c r="B9">
        <f t="shared" si="0"/>
        <v>629.803</v>
      </c>
      <c r="C9">
        <f t="shared" si="1"/>
        <v>852.25800000000004</v>
      </c>
      <c r="D9">
        <f t="shared" si="2"/>
        <v>0.73898162293577763</v>
      </c>
      <c r="F9">
        <v>1.728</v>
      </c>
      <c r="G9">
        <v>629.803</v>
      </c>
      <c r="H9">
        <v>4.2119999999999997</v>
      </c>
      <c r="I9">
        <v>852.25800000000004</v>
      </c>
    </row>
    <row r="10" spans="1:9">
      <c r="A10">
        <v>30</v>
      </c>
      <c r="B10">
        <f t="shared" si="0"/>
        <v>322.19099999999997</v>
      </c>
      <c r="C10">
        <f t="shared" si="1"/>
        <v>778.01099999999997</v>
      </c>
      <c r="D10">
        <f t="shared" si="2"/>
        <v>0.41412139417051941</v>
      </c>
      <c r="F10">
        <v>0.75600000000000001</v>
      </c>
      <c r="G10">
        <v>322.19099999999997</v>
      </c>
      <c r="H10">
        <v>2.16</v>
      </c>
      <c r="I10">
        <v>778.01099999999997</v>
      </c>
    </row>
    <row r="11" spans="1:9">
      <c r="A11">
        <v>10</v>
      </c>
      <c r="B11">
        <f t="shared" si="0"/>
        <v>822.63800000000003</v>
      </c>
      <c r="C11">
        <f t="shared" si="1"/>
        <v>808.50699999999995</v>
      </c>
      <c r="D11">
        <f t="shared" si="2"/>
        <v>1.0174778944399987</v>
      </c>
      <c r="F11">
        <v>3.1320000000000001</v>
      </c>
      <c r="G11">
        <v>822.63800000000003</v>
      </c>
      <c r="H11">
        <v>4.5359999999999996</v>
      </c>
      <c r="I11">
        <v>808.50699999999995</v>
      </c>
    </row>
    <row r="12" spans="1:9">
      <c r="A12">
        <v>24</v>
      </c>
      <c r="B12">
        <f t="shared" si="0"/>
        <v>266.89699999999999</v>
      </c>
      <c r="C12">
        <f t="shared" si="1"/>
        <v>720.45799999999997</v>
      </c>
      <c r="D12">
        <f t="shared" si="2"/>
        <v>0.37045462747307961</v>
      </c>
      <c r="F12">
        <v>1.1879999999999999</v>
      </c>
      <c r="G12">
        <v>266.89699999999999</v>
      </c>
      <c r="H12">
        <v>2.8079999999999998</v>
      </c>
      <c r="I12">
        <v>720.45799999999997</v>
      </c>
    </row>
    <row r="13" spans="1:9">
      <c r="A13">
        <v>8</v>
      </c>
      <c r="B13">
        <f t="shared" si="0"/>
        <v>456.81200000000001</v>
      </c>
      <c r="C13">
        <f t="shared" si="1"/>
        <v>620.35699999999997</v>
      </c>
      <c r="D13">
        <f t="shared" si="2"/>
        <v>0.73636954205401084</v>
      </c>
      <c r="F13">
        <v>1.728</v>
      </c>
      <c r="G13">
        <v>456.81200000000001</v>
      </c>
      <c r="H13">
        <v>4.8600000000000003</v>
      </c>
      <c r="I13">
        <v>620.35699999999997</v>
      </c>
    </row>
    <row r="14" spans="1:9">
      <c r="A14">
        <v>28</v>
      </c>
      <c r="B14">
        <f t="shared" si="0"/>
        <v>852.43499999999995</v>
      </c>
      <c r="C14">
        <f t="shared" si="1"/>
        <v>647.36800000000005</v>
      </c>
      <c r="D14">
        <f t="shared" si="2"/>
        <v>1.3167703686311338</v>
      </c>
      <c r="F14">
        <v>1.8360000000000001</v>
      </c>
      <c r="G14">
        <v>852.43499999999995</v>
      </c>
      <c r="H14">
        <v>3.024</v>
      </c>
      <c r="I14">
        <v>647.36800000000005</v>
      </c>
    </row>
    <row r="15" spans="1:9">
      <c r="A15">
        <v>27</v>
      </c>
      <c r="B15">
        <f t="shared" si="0"/>
        <v>852.43499999999995</v>
      </c>
      <c r="C15">
        <f t="shared" si="1"/>
        <v>647.36800000000005</v>
      </c>
      <c r="D15">
        <f t="shared" si="2"/>
        <v>1.3167703686311338</v>
      </c>
      <c r="F15">
        <v>1.8360000000000001</v>
      </c>
      <c r="G15">
        <v>852.43499999999995</v>
      </c>
      <c r="H15">
        <v>3.024</v>
      </c>
      <c r="I15">
        <v>647.36800000000005</v>
      </c>
    </row>
    <row r="16" spans="1:9">
      <c r="A16">
        <v>38</v>
      </c>
      <c r="B16">
        <f t="shared" si="0"/>
        <v>382.286</v>
      </c>
      <c r="C16">
        <f t="shared" si="1"/>
        <v>668.524</v>
      </c>
      <c r="D16">
        <f t="shared" si="2"/>
        <v>0.57183586527933183</v>
      </c>
      <c r="F16">
        <v>1.1879999999999999</v>
      </c>
      <c r="G16">
        <v>382.286</v>
      </c>
      <c r="H16">
        <v>2.8079999999999998</v>
      </c>
      <c r="I16">
        <v>668.524</v>
      </c>
    </row>
    <row r="17" spans="1:9">
      <c r="A17">
        <v>31</v>
      </c>
      <c r="B17">
        <f t="shared" si="0"/>
        <v>393.81400000000002</v>
      </c>
      <c r="C17">
        <f t="shared" si="1"/>
        <v>684.78099999999995</v>
      </c>
      <c r="D17">
        <f t="shared" si="2"/>
        <v>0.57509481133384255</v>
      </c>
      <c r="F17">
        <v>1.1879999999999999</v>
      </c>
      <c r="G17">
        <v>393.81400000000002</v>
      </c>
      <c r="H17">
        <v>2.5920000000000001</v>
      </c>
      <c r="I17">
        <v>684.78099999999995</v>
      </c>
    </row>
    <row r="18" spans="1:9">
      <c r="A18">
        <v>32</v>
      </c>
      <c r="B18">
        <f t="shared" si="0"/>
        <v>451.80200000000002</v>
      </c>
      <c r="C18">
        <f t="shared" si="1"/>
        <v>651.69399999999996</v>
      </c>
      <c r="D18">
        <f t="shared" si="2"/>
        <v>0.69327322332260244</v>
      </c>
      <c r="F18">
        <v>1.1879999999999999</v>
      </c>
      <c r="G18">
        <v>451.80200000000002</v>
      </c>
      <c r="H18">
        <v>3.456</v>
      </c>
      <c r="I18">
        <v>651.69399999999996</v>
      </c>
    </row>
    <row r="19" spans="1:9">
      <c r="A19">
        <v>14</v>
      </c>
      <c r="B19">
        <f t="shared" si="0"/>
        <v>3406.4250000000002</v>
      </c>
      <c r="C19">
        <f t="shared" si="1"/>
        <v>730.95100000000002</v>
      </c>
      <c r="D19">
        <f t="shared" si="2"/>
        <v>4.6602645047342435</v>
      </c>
      <c r="F19">
        <v>1.296</v>
      </c>
      <c r="G19">
        <v>3406.4250000000002</v>
      </c>
      <c r="H19">
        <v>4.6440000000000001</v>
      </c>
      <c r="I19">
        <v>730.95100000000002</v>
      </c>
    </row>
    <row r="20" spans="1:9">
      <c r="A20">
        <v>39</v>
      </c>
      <c r="B20">
        <f t="shared" si="0"/>
        <v>432.34300000000002</v>
      </c>
      <c r="C20">
        <f t="shared" si="1"/>
        <v>575.5</v>
      </c>
      <c r="D20">
        <f t="shared" si="2"/>
        <v>0.75124761077324065</v>
      </c>
      <c r="F20">
        <v>1.296</v>
      </c>
      <c r="G20">
        <v>432.34300000000002</v>
      </c>
      <c r="H20">
        <v>2.3759999999999999</v>
      </c>
      <c r="I20">
        <v>575.5</v>
      </c>
    </row>
    <row r="21" spans="1:9">
      <c r="A21">
        <v>17</v>
      </c>
      <c r="B21">
        <f t="shared" si="0"/>
        <v>501</v>
      </c>
      <c r="C21">
        <f t="shared" si="1"/>
        <v>780.33299999999997</v>
      </c>
      <c r="D21">
        <f t="shared" si="2"/>
        <v>0.64203359335053112</v>
      </c>
      <c r="F21">
        <v>1.8360000000000001</v>
      </c>
      <c r="G21">
        <v>501</v>
      </c>
      <c r="H21">
        <v>3.3479999999999999</v>
      </c>
      <c r="I21">
        <v>780.33299999999997</v>
      </c>
    </row>
    <row r="22" spans="1:9">
      <c r="A22">
        <v>16</v>
      </c>
      <c r="B22">
        <f t="shared" si="0"/>
        <v>520.09500000000003</v>
      </c>
      <c r="C22">
        <f t="shared" si="1"/>
        <v>840.75</v>
      </c>
      <c r="D22">
        <f t="shared" si="2"/>
        <v>0.61860838537020524</v>
      </c>
      <c r="F22">
        <v>1.512</v>
      </c>
      <c r="G22">
        <v>520.09500000000003</v>
      </c>
      <c r="H22">
        <v>2.484</v>
      </c>
      <c r="I22">
        <v>840.75</v>
      </c>
    </row>
    <row r="23" spans="1:9">
      <c r="A23">
        <v>42</v>
      </c>
      <c r="B23">
        <f t="shared" si="0"/>
        <v>0</v>
      </c>
      <c r="C23">
        <f t="shared" si="1"/>
        <v>0</v>
      </c>
      <c r="D23" t="e">
        <f t="shared" si="2"/>
        <v>#DIV/0!</v>
      </c>
      <c r="F23">
        <v>0</v>
      </c>
      <c r="G23">
        <v>0</v>
      </c>
      <c r="H23">
        <v>0</v>
      </c>
      <c r="I2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AD816-BDDB-429D-8AF4-2C23608A0698}">
  <dimension ref="A1:M63"/>
  <sheetViews>
    <sheetView tabSelected="1" workbookViewId="0">
      <selection activeCell="O18" sqref="O18:P18"/>
    </sheetView>
  </sheetViews>
  <sheetFormatPr defaultRowHeight="15"/>
  <sheetData>
    <row r="1" spans="1:13">
      <c r="A1" t="s">
        <v>0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H1" t="s">
        <v>11</v>
      </c>
      <c r="I1" t="s">
        <v>9</v>
      </c>
      <c r="L1" t="s">
        <v>9</v>
      </c>
      <c r="M1" t="s">
        <v>12</v>
      </c>
    </row>
    <row r="2" spans="1:13">
      <c r="A2">
        <v>19</v>
      </c>
      <c r="B2" cm="1">
        <f t="array" ref="B2:B23">'Trial 1'!D2:D23</f>
        <v>0.9409637193079603</v>
      </c>
      <c r="C2" cm="1">
        <f t="array" ref="C2:C23">'Trial 2'!D2:D23</f>
        <v>0.75762452392918611</v>
      </c>
      <c r="D2">
        <f>'Trial 3'!D2</f>
        <v>0.69229600190032969</v>
      </c>
      <c r="E2">
        <f>AVERAGE(B2:D2)</f>
        <v>0.79696141504582541</v>
      </c>
      <c r="F2" s="2">
        <v>0.18079200000000001</v>
      </c>
      <c r="H2" cm="1">
        <f t="array" ref="H2:H14">B2:B14</f>
        <v>0.9409637193079603</v>
      </c>
      <c r="I2" cm="1">
        <f t="array" ref="I2:I14">E2:E14</f>
        <v>0.79696141504582541</v>
      </c>
      <c r="L2">
        <f>AVERAGE(I2:K2)</f>
        <v>0.79696141504582541</v>
      </c>
      <c r="M2" s="2">
        <v>0.18079200000000001</v>
      </c>
    </row>
    <row r="3" spans="1:13">
      <c r="A3">
        <v>4</v>
      </c>
      <c r="B3">
        <v>0.73658040762854149</v>
      </c>
      <c r="C3">
        <v>0.7248996397323727</v>
      </c>
      <c r="D3">
        <f>'Trial 3'!D3</f>
        <v>0.69282692638260579</v>
      </c>
      <c r="E3">
        <f t="shared" ref="E3:E22" si="0">AVERAGE(B3:D3)</f>
        <v>0.7181023245811734</v>
      </c>
      <c r="F3" s="2">
        <v>0.14507100000000001</v>
      </c>
      <c r="H3">
        <v>0.73658040762854149</v>
      </c>
      <c r="I3">
        <v>0.7181023245811734</v>
      </c>
      <c r="L3">
        <f t="shared" ref="L3:L21" si="1">AVERAGE(I3:K3)</f>
        <v>0.7181023245811734</v>
      </c>
      <c r="M3" s="2">
        <v>0.14507100000000001</v>
      </c>
    </row>
    <row r="4" spans="1:13">
      <c r="A4">
        <v>21</v>
      </c>
      <c r="B4">
        <v>0.84180234294044298</v>
      </c>
      <c r="C4">
        <v>0.84948612949359104</v>
      </c>
      <c r="D4">
        <f>'Trial 3'!D4</f>
        <v>0.83231230529181222</v>
      </c>
      <c r="E4">
        <f t="shared" si="0"/>
        <v>0.84120025924194886</v>
      </c>
      <c r="F4" s="2">
        <v>0.237654</v>
      </c>
      <c r="H4">
        <v>0.84180234294044298</v>
      </c>
      <c r="I4">
        <v>0.84120025924194886</v>
      </c>
      <c r="L4">
        <f t="shared" si="1"/>
        <v>0.84120025924194886</v>
      </c>
      <c r="M4" s="2">
        <v>0.237654</v>
      </c>
    </row>
    <row r="5" spans="1:13">
      <c r="A5">
        <v>22</v>
      </c>
      <c r="B5">
        <v>0.66495551304519085</v>
      </c>
      <c r="C5">
        <v>0.53258358341645651</v>
      </c>
      <c r="D5">
        <f>'Trial 3'!D5</f>
        <v>0.69686958501898255</v>
      </c>
      <c r="E5">
        <f t="shared" si="0"/>
        <v>0.6314695604935433</v>
      </c>
      <c r="F5" s="2">
        <v>0.13413600000000001</v>
      </c>
      <c r="H5">
        <v>0.66495551304519085</v>
      </c>
      <c r="I5">
        <v>0.6314695604935433</v>
      </c>
      <c r="L5">
        <f t="shared" si="1"/>
        <v>0.6314695604935433</v>
      </c>
      <c r="M5" s="2">
        <v>0.13413600000000001</v>
      </c>
    </row>
    <row r="6" spans="1:13">
      <c r="A6">
        <v>3</v>
      </c>
      <c r="B6">
        <v>0.9334993614303958</v>
      </c>
      <c r="C6">
        <v>0.99600653476129986</v>
      </c>
      <c r="D6">
        <f>'Trial 3'!D6</f>
        <v>0.87111485890411133</v>
      </c>
      <c r="E6">
        <f t="shared" si="0"/>
        <v>0.93354025169860233</v>
      </c>
      <c r="F6" s="2">
        <v>0.90264800000000001</v>
      </c>
      <c r="H6">
        <v>0.9334993614303958</v>
      </c>
      <c r="I6">
        <v>0.93354025169860233</v>
      </c>
      <c r="L6">
        <f t="shared" si="1"/>
        <v>0.93354025169860233</v>
      </c>
      <c r="M6" s="2">
        <v>0.90264800000000001</v>
      </c>
    </row>
    <row r="7" spans="1:13">
      <c r="A7">
        <v>23</v>
      </c>
      <c r="B7">
        <v>0.58126421800499395</v>
      </c>
      <c r="C7">
        <v>0.57505583578006969</v>
      </c>
      <c r="D7">
        <f>'Trial 3'!D7</f>
        <v>0.57562380527590162</v>
      </c>
      <c r="E7">
        <f t="shared" si="0"/>
        <v>0.57731461968698838</v>
      </c>
      <c r="F7" s="2">
        <v>0.149591</v>
      </c>
      <c r="H7">
        <v>0.58126421800499395</v>
      </c>
      <c r="I7">
        <v>0.57731461968698838</v>
      </c>
      <c r="L7">
        <f t="shared" si="1"/>
        <v>0.57731461968698838</v>
      </c>
      <c r="M7" s="2">
        <v>0.149591</v>
      </c>
    </row>
    <row r="8" spans="1:13">
      <c r="A8">
        <v>5</v>
      </c>
      <c r="B8">
        <v>0.60998159836743104</v>
      </c>
      <c r="C8">
        <v>0.60127488432760068</v>
      </c>
      <c r="D8">
        <f>'Trial 3'!D8</f>
        <v>0.58853755949590203</v>
      </c>
      <c r="E8">
        <f t="shared" si="0"/>
        <v>0.59993134739697795</v>
      </c>
      <c r="F8" s="2">
        <v>0.194497</v>
      </c>
      <c r="H8">
        <v>0.60998159836743104</v>
      </c>
      <c r="I8">
        <v>0.59993134739697795</v>
      </c>
      <c r="L8">
        <f t="shared" si="1"/>
        <v>0.59993134739697795</v>
      </c>
      <c r="M8" s="2">
        <v>0.194497</v>
      </c>
    </row>
    <row r="9" spans="1:13">
      <c r="A9">
        <v>9</v>
      </c>
      <c r="B9">
        <v>0.86059238730784438</v>
      </c>
      <c r="C9">
        <v>0.77252208322189042</v>
      </c>
      <c r="D9">
        <f>'Trial 3'!D9</f>
        <v>0.73898162293577763</v>
      </c>
      <c r="E9">
        <f t="shared" si="0"/>
        <v>0.79069869782183744</v>
      </c>
      <c r="F9" s="2">
        <v>0.76355499999999998</v>
      </c>
      <c r="H9">
        <v>0.86059238730784438</v>
      </c>
      <c r="I9">
        <v>0.79069869782183744</v>
      </c>
      <c r="L9">
        <f t="shared" si="1"/>
        <v>0.79069869782183744</v>
      </c>
      <c r="M9" s="2">
        <v>0.76355499999999998</v>
      </c>
    </row>
    <row r="10" spans="1:13">
      <c r="A10">
        <v>30</v>
      </c>
      <c r="B10">
        <v>0.43164265665991247</v>
      </c>
      <c r="C10">
        <v>0.43938445984860097</v>
      </c>
      <c r="D10">
        <f>'Trial 3'!D10</f>
        <v>0.41412139417051941</v>
      </c>
      <c r="E10">
        <f t="shared" si="0"/>
        <v>0.42838283689301093</v>
      </c>
      <c r="F10" s="2">
        <v>2.2599000000000001E-2</v>
      </c>
      <c r="H10">
        <v>0.43164265665991247</v>
      </c>
      <c r="I10">
        <v>0.42838283689301093</v>
      </c>
      <c r="L10">
        <f t="shared" si="1"/>
        <v>0.42838283689301093</v>
      </c>
      <c r="M10" s="2">
        <v>2.2599000000000001E-2</v>
      </c>
    </row>
    <row r="11" spans="1:13">
      <c r="A11">
        <v>10</v>
      </c>
      <c r="B11">
        <v>1.0053482737734705</v>
      </c>
      <c r="C11">
        <v>1.0000830439832227</v>
      </c>
      <c r="D11">
        <f>'Trial 3'!D11</f>
        <v>1.0174778944399987</v>
      </c>
      <c r="E11">
        <f t="shared" si="0"/>
        <v>1.0076364040655639</v>
      </c>
      <c r="F11" s="2">
        <v>0.60055000000000003</v>
      </c>
      <c r="H11">
        <v>1.0053482737734705</v>
      </c>
      <c r="I11">
        <v>1.0076364040655639</v>
      </c>
      <c r="L11">
        <f t="shared" si="1"/>
        <v>1.0076364040655639</v>
      </c>
      <c r="M11" s="2">
        <v>0.60055000000000003</v>
      </c>
    </row>
    <row r="12" spans="1:13">
      <c r="A12">
        <v>24</v>
      </c>
      <c r="B12">
        <v>0.35436595662624049</v>
      </c>
      <c r="C12">
        <v>0.360370332826491</v>
      </c>
      <c r="D12">
        <f>'Trial 3'!D12</f>
        <v>0.37045462747307961</v>
      </c>
      <c r="E12">
        <f t="shared" si="0"/>
        <v>0.36173030564193703</v>
      </c>
      <c r="F12" s="2">
        <v>6.3422999999999993E-2</v>
      </c>
      <c r="H12">
        <v>0.35436595662624049</v>
      </c>
      <c r="I12">
        <v>0.36173030564193703</v>
      </c>
      <c r="L12">
        <f t="shared" si="1"/>
        <v>0.36173030564193703</v>
      </c>
      <c r="M12" s="2">
        <v>6.3422999999999993E-2</v>
      </c>
    </row>
    <row r="13" spans="1:13">
      <c r="A13">
        <v>8</v>
      </c>
      <c r="B13">
        <v>0.78638090378182235</v>
      </c>
      <c r="C13">
        <v>0.78955625386473005</v>
      </c>
      <c r="D13">
        <f>'Trial 3'!D13</f>
        <v>0.73636954205401084</v>
      </c>
      <c r="E13">
        <f t="shared" si="0"/>
        <v>0.77076889990018771</v>
      </c>
      <c r="F13" s="2">
        <v>0.34000599999999997</v>
      </c>
      <c r="H13">
        <v>0.78638090378182235</v>
      </c>
      <c r="I13">
        <v>0.77076889990018771</v>
      </c>
      <c r="L13">
        <f t="shared" si="1"/>
        <v>0.77076889990018771</v>
      </c>
      <c r="M13" s="2">
        <v>0.34000599999999997</v>
      </c>
    </row>
    <row r="14" spans="1:13">
      <c r="A14">
        <v>28</v>
      </c>
      <c r="B14">
        <v>1.3035032593912674</v>
      </c>
      <c r="C14">
        <v>1.2052752684506562</v>
      </c>
      <c r="D14">
        <f>'Trial 3'!D14</f>
        <v>1.3167703686311338</v>
      </c>
      <c r="E14">
        <f t="shared" si="0"/>
        <v>1.2751829654910189</v>
      </c>
      <c r="F14" s="2">
        <v>3.9073999999999998E-2</v>
      </c>
      <c r="H14">
        <v>1.3035032593912674</v>
      </c>
      <c r="I14">
        <v>1.2751829654910189</v>
      </c>
      <c r="L14">
        <f t="shared" si="1"/>
        <v>1.2751829654910189</v>
      </c>
      <c r="M14" s="2">
        <v>3.9073999999999998E-2</v>
      </c>
    </row>
    <row r="15" spans="1:13">
      <c r="A15">
        <v>27</v>
      </c>
      <c r="B15" s="1">
        <v>1.3035032593912674</v>
      </c>
      <c r="C15" s="1">
        <v>1.2052752684506562</v>
      </c>
      <c r="D15" s="1">
        <f>'Trial 3'!D15</f>
        <v>1.3167703686311338</v>
      </c>
      <c r="E15" s="1">
        <f t="shared" si="0"/>
        <v>1.2751829654910189</v>
      </c>
      <c r="F15" s="3">
        <v>6.0360999999999998E-2</v>
      </c>
      <c r="H15" cm="1">
        <f t="array" ref="H15:H21">B16:B22</f>
        <v>0.64128730802549905</v>
      </c>
      <c r="I15" cm="1">
        <f t="array" ref="I15:I21">E16:E22</f>
        <v>0.600197256850867</v>
      </c>
      <c r="L15">
        <f t="shared" si="1"/>
        <v>0.600197256850867</v>
      </c>
      <c r="M15" s="2">
        <v>6.2401999999999999E-2</v>
      </c>
    </row>
    <row r="16" spans="1:13">
      <c r="A16">
        <v>38</v>
      </c>
      <c r="B16">
        <v>0.64128730802549905</v>
      </c>
      <c r="C16">
        <v>0.58746859724777034</v>
      </c>
      <c r="D16">
        <f>'Trial 3'!D16</f>
        <v>0.57183586527933183</v>
      </c>
      <c r="E16">
        <f t="shared" si="0"/>
        <v>0.600197256850867</v>
      </c>
      <c r="F16" s="2">
        <v>6.2401999999999999E-2</v>
      </c>
      <c r="H16">
        <v>0.54955521496181003</v>
      </c>
      <c r="I16">
        <v>0.56290895678306208</v>
      </c>
      <c r="L16">
        <f t="shared" si="1"/>
        <v>0.56290895678306208</v>
      </c>
      <c r="M16" s="2">
        <v>3.3097000000000001E-2</v>
      </c>
    </row>
    <row r="17" spans="1:13">
      <c r="A17">
        <v>31</v>
      </c>
      <c r="B17">
        <v>0.54955521496181003</v>
      </c>
      <c r="C17">
        <v>0.56407684405353375</v>
      </c>
      <c r="D17">
        <f>'Trial 3'!D17</f>
        <v>0.57509481133384255</v>
      </c>
      <c r="E17">
        <f t="shared" si="0"/>
        <v>0.56290895678306208</v>
      </c>
      <c r="F17" s="2">
        <v>3.3097000000000001E-2</v>
      </c>
      <c r="H17">
        <v>0.78632599743169629</v>
      </c>
      <c r="I17">
        <v>0.71439576567066776</v>
      </c>
      <c r="L17">
        <f t="shared" si="1"/>
        <v>0.71439576567066776</v>
      </c>
      <c r="M17" s="2">
        <v>7.4940999999999994E-2</v>
      </c>
    </row>
    <row r="18" spans="1:13">
      <c r="A18">
        <v>32</v>
      </c>
      <c r="B18">
        <v>0.78632599743169629</v>
      </c>
      <c r="C18">
        <v>0.66358807625770444</v>
      </c>
      <c r="D18">
        <f>'Trial 3'!D18</f>
        <v>0.69327322332260244</v>
      </c>
      <c r="E18">
        <f t="shared" si="0"/>
        <v>0.71439576567066776</v>
      </c>
      <c r="F18" s="2">
        <v>7.4940999999999994E-2</v>
      </c>
      <c r="H18">
        <v>5.7820083932853716</v>
      </c>
      <c r="I18">
        <v>4.9676092115525732</v>
      </c>
      <c r="L18">
        <f>AVERAGE(I18:K18)</f>
        <v>4.9676092115525732</v>
      </c>
      <c r="M18" s="2">
        <v>4.4761000000000002E-2</v>
      </c>
    </row>
    <row r="19" spans="1:13">
      <c r="A19">
        <v>14</v>
      </c>
      <c r="B19">
        <v>5.7820083932853716</v>
      </c>
      <c r="C19">
        <v>4.4605547366381053</v>
      </c>
      <c r="D19">
        <f>'Trial 3'!D19</f>
        <v>4.6602645047342435</v>
      </c>
      <c r="E19">
        <f t="shared" si="0"/>
        <v>4.9676092115525732</v>
      </c>
      <c r="F19" s="2">
        <v>4.4761000000000002E-2</v>
      </c>
      <c r="H19">
        <v>0.77463496290932821</v>
      </c>
      <c r="I19">
        <v>0.75367795085132661</v>
      </c>
      <c r="L19">
        <f t="shared" si="1"/>
        <v>0.75367795085132661</v>
      </c>
      <c r="M19" s="2">
        <v>0.120868</v>
      </c>
    </row>
    <row r="20" spans="1:13">
      <c r="A20">
        <v>39</v>
      </c>
      <c r="B20">
        <v>0.77463496290932821</v>
      </c>
      <c r="C20">
        <v>0.73515127887141085</v>
      </c>
      <c r="D20">
        <f>'Trial 3'!D20</f>
        <v>0.75124761077324065</v>
      </c>
      <c r="E20">
        <f t="shared" si="0"/>
        <v>0.75367795085132661</v>
      </c>
      <c r="F20" s="2">
        <v>0.120868</v>
      </c>
      <c r="H20">
        <v>0.56843826637584682</v>
      </c>
      <c r="I20">
        <v>0.63080429400228322</v>
      </c>
      <c r="L20">
        <f t="shared" si="1"/>
        <v>0.63080429400228322</v>
      </c>
      <c r="M20" s="2">
        <v>0.25237999999999999</v>
      </c>
    </row>
    <row r="21" spans="1:13">
      <c r="A21">
        <v>17</v>
      </c>
      <c r="B21">
        <v>0.56843826637584682</v>
      </c>
      <c r="C21">
        <v>0.68194102228047182</v>
      </c>
      <c r="D21">
        <f>'Trial 3'!D21</f>
        <v>0.64203359335053112</v>
      </c>
      <c r="E21">
        <f t="shared" si="0"/>
        <v>0.63080429400228322</v>
      </c>
      <c r="F21" s="2">
        <v>0.25237999999999999</v>
      </c>
      <c r="H21">
        <v>0.66459914992615365</v>
      </c>
      <c r="I21">
        <v>0.64138304824428161</v>
      </c>
      <c r="L21">
        <f t="shared" si="1"/>
        <v>0.64138304824428161</v>
      </c>
      <c r="M21" s="2">
        <v>9.8560999999999996E-2</v>
      </c>
    </row>
    <row r="22" spans="1:13">
      <c r="A22">
        <v>16</v>
      </c>
      <c r="B22">
        <v>0.66459914992615365</v>
      </c>
      <c r="C22">
        <v>0.64094160943648604</v>
      </c>
      <c r="D22">
        <f>'Trial 3'!D22</f>
        <v>0.61860838537020524</v>
      </c>
      <c r="E22">
        <f t="shared" si="0"/>
        <v>0.64138304824428161</v>
      </c>
      <c r="F22" s="2">
        <v>9.8560999999999996E-2</v>
      </c>
      <c r="H22" cm="1">
        <f t="array" ref="H22:H34">C2:C14</f>
        <v>0.75762452392918611</v>
      </c>
      <c r="I22" cm="1">
        <f t="array" ref="I22:I34">E2:E14</f>
        <v>0.79696141504582541</v>
      </c>
      <c r="L22" s="2"/>
    </row>
    <row r="23" spans="1:13">
      <c r="A23">
        <v>42</v>
      </c>
      <c r="B23" s="1">
        <v>0.67599180891783195</v>
      </c>
      <c r="C23" s="1" t="e">
        <v>#DIV/0!</v>
      </c>
      <c r="D23" s="1" t="e">
        <f>'Trial 3'!D23</f>
        <v>#DIV/0!</v>
      </c>
      <c r="E23" s="1"/>
      <c r="F23" s="3">
        <v>4.8113999999999997E-2</v>
      </c>
      <c r="H23">
        <v>0.7248996397323727</v>
      </c>
      <c r="I23">
        <v>0.7181023245811734</v>
      </c>
      <c r="L23" s="2"/>
    </row>
    <row r="24" spans="1:13">
      <c r="H24">
        <v>0.84948612949359104</v>
      </c>
      <c r="I24">
        <v>0.84120025924194886</v>
      </c>
      <c r="L24" s="2"/>
    </row>
    <row r="25" spans="1:13">
      <c r="H25">
        <v>0.53258358341645651</v>
      </c>
      <c r="I25">
        <v>0.6314695604935433</v>
      </c>
      <c r="L25" s="2">
        <f>PEARSON(L2:L21,M2:M21)</f>
        <v>-8.1011572691739003E-2</v>
      </c>
    </row>
    <row r="26" spans="1:13">
      <c r="H26">
        <v>0.99600653476129986</v>
      </c>
      <c r="I26">
        <v>0.93354025169860233</v>
      </c>
    </row>
    <row r="27" spans="1:13">
      <c r="H27">
        <v>0.57505583578006969</v>
      </c>
      <c r="I27">
        <v>0.57731461968698838</v>
      </c>
    </row>
    <row r="28" spans="1:13">
      <c r="H28">
        <v>0.60127488432760068</v>
      </c>
      <c r="I28">
        <v>0.59993134739697795</v>
      </c>
    </row>
    <row r="29" spans="1:13">
      <c r="H29">
        <v>0.77252208322189042</v>
      </c>
      <c r="I29">
        <v>0.79069869782183744</v>
      </c>
    </row>
    <row r="30" spans="1:13">
      <c r="H30">
        <v>0.43938445984860097</v>
      </c>
      <c r="I30">
        <v>0.42838283689301093</v>
      </c>
    </row>
    <row r="31" spans="1:13">
      <c r="H31">
        <v>1.0000830439832227</v>
      </c>
      <c r="I31">
        <v>1.0076364040655639</v>
      </c>
    </row>
    <row r="32" spans="1:13">
      <c r="H32">
        <v>0.360370332826491</v>
      </c>
      <c r="I32">
        <v>0.36173030564193703</v>
      </c>
    </row>
    <row r="33" spans="8:9">
      <c r="H33">
        <v>0.78955625386473005</v>
      </c>
      <c r="I33">
        <v>0.77076889990018771</v>
      </c>
    </row>
    <row r="34" spans="8:9">
      <c r="H34">
        <v>1.2052752684506562</v>
      </c>
      <c r="I34">
        <v>1.2751829654910189</v>
      </c>
    </row>
    <row r="35" spans="8:9">
      <c r="H35" cm="1">
        <f t="array" ref="H35:H41">C16:C22</f>
        <v>0.58746859724777034</v>
      </c>
      <c r="I35" cm="1">
        <f t="array" ref="I35:I41">E16:E22</f>
        <v>0.600197256850867</v>
      </c>
    </row>
    <row r="36" spans="8:9">
      <c r="H36">
        <v>0.56407684405353375</v>
      </c>
      <c r="I36">
        <v>0.56290895678306208</v>
      </c>
    </row>
    <row r="37" spans="8:9">
      <c r="H37">
        <v>0.66358807625770444</v>
      </c>
      <c r="I37">
        <v>0.71439576567066776</v>
      </c>
    </row>
    <row r="38" spans="8:9">
      <c r="H38">
        <v>4.4605547366381053</v>
      </c>
      <c r="I38">
        <v>4.9676092115525732</v>
      </c>
    </row>
    <row r="39" spans="8:9">
      <c r="H39">
        <v>0.73515127887141085</v>
      </c>
      <c r="I39">
        <v>0.75367795085132661</v>
      </c>
    </row>
    <row r="40" spans="8:9">
      <c r="H40">
        <v>0.68194102228047182</v>
      </c>
      <c r="I40">
        <v>0.63080429400228322</v>
      </c>
    </row>
    <row r="41" spans="8:9">
      <c r="H41">
        <v>0.64094160943648604</v>
      </c>
      <c r="I41">
        <v>0.64138304824428161</v>
      </c>
    </row>
    <row r="42" spans="8:9">
      <c r="H42" cm="1">
        <f t="array" ref="H42:H54">D2:D14</f>
        <v>0.69229600190032969</v>
      </c>
      <c r="I42">
        <f>AVERAGE(F42:H42)</f>
        <v>0.69229600190032969</v>
      </c>
    </row>
    <row r="43" spans="8:9">
      <c r="H43">
        <v>0.69282692638260579</v>
      </c>
      <c r="I43">
        <f t="shared" ref="I43:I61" si="2">AVERAGE(F43:H43)</f>
        <v>0.69282692638260579</v>
      </c>
    </row>
    <row r="44" spans="8:9">
      <c r="H44">
        <v>0.83231230529181222</v>
      </c>
      <c r="I44">
        <f t="shared" si="2"/>
        <v>0.83231230529181222</v>
      </c>
    </row>
    <row r="45" spans="8:9">
      <c r="H45">
        <v>0.69686958501898255</v>
      </c>
      <c r="I45">
        <f t="shared" si="2"/>
        <v>0.69686958501898255</v>
      </c>
    </row>
    <row r="46" spans="8:9">
      <c r="H46">
        <v>0.87111485890411133</v>
      </c>
      <c r="I46">
        <f t="shared" si="2"/>
        <v>0.87111485890411133</v>
      </c>
    </row>
    <row r="47" spans="8:9">
      <c r="H47">
        <v>0.57562380527590162</v>
      </c>
      <c r="I47">
        <f t="shared" si="2"/>
        <v>0.57562380527590162</v>
      </c>
    </row>
    <row r="48" spans="8:9">
      <c r="H48">
        <v>0.58853755949590203</v>
      </c>
      <c r="I48">
        <f t="shared" si="2"/>
        <v>0.58853755949590203</v>
      </c>
    </row>
    <row r="49" spans="8:9">
      <c r="H49">
        <v>0.73898162293577763</v>
      </c>
      <c r="I49">
        <f t="shared" si="2"/>
        <v>0.73898162293577763</v>
      </c>
    </row>
    <row r="50" spans="8:9">
      <c r="H50">
        <v>0.41412139417051941</v>
      </c>
      <c r="I50">
        <f t="shared" si="2"/>
        <v>0.41412139417051941</v>
      </c>
    </row>
    <row r="51" spans="8:9">
      <c r="H51">
        <v>1.0174778944399987</v>
      </c>
      <c r="I51">
        <f t="shared" si="2"/>
        <v>1.0174778944399987</v>
      </c>
    </row>
    <row r="52" spans="8:9">
      <c r="H52">
        <v>0.37045462747307961</v>
      </c>
      <c r="I52">
        <f t="shared" si="2"/>
        <v>0.37045462747307961</v>
      </c>
    </row>
    <row r="53" spans="8:9">
      <c r="H53">
        <v>0.73636954205401084</v>
      </c>
      <c r="I53">
        <f t="shared" si="2"/>
        <v>0.73636954205401084</v>
      </c>
    </row>
    <row r="54" spans="8:9">
      <c r="H54">
        <v>1.3167703686311338</v>
      </c>
      <c r="I54">
        <f t="shared" si="2"/>
        <v>1.3167703686311338</v>
      </c>
    </row>
    <row r="55" spans="8:9">
      <c r="H55" cm="1">
        <f t="array" ref="H55:H61">D16:D22</f>
        <v>0.57183586527933183</v>
      </c>
      <c r="I55">
        <f t="shared" si="2"/>
        <v>0.57183586527933183</v>
      </c>
    </row>
    <row r="56" spans="8:9">
      <c r="H56">
        <v>0.57509481133384255</v>
      </c>
      <c r="I56">
        <f t="shared" si="2"/>
        <v>0.57509481133384255</v>
      </c>
    </row>
    <row r="57" spans="8:9">
      <c r="H57">
        <v>0.69327322332260244</v>
      </c>
      <c r="I57">
        <f t="shared" si="2"/>
        <v>0.69327322332260244</v>
      </c>
    </row>
    <row r="58" spans="8:9">
      <c r="H58">
        <v>4.6602645047342435</v>
      </c>
      <c r="I58">
        <f t="shared" si="2"/>
        <v>4.6602645047342435</v>
      </c>
    </row>
    <row r="59" spans="8:9">
      <c r="H59">
        <v>0.75124761077324065</v>
      </c>
      <c r="I59">
        <f t="shared" si="2"/>
        <v>0.75124761077324065</v>
      </c>
    </row>
    <row r="60" spans="8:9">
      <c r="H60">
        <v>0.64203359335053112</v>
      </c>
      <c r="I60">
        <f t="shared" si="2"/>
        <v>0.64203359335053112</v>
      </c>
    </row>
    <row r="61" spans="8:9">
      <c r="H61">
        <v>0.61860838537020524</v>
      </c>
      <c r="I61">
        <f t="shared" si="2"/>
        <v>0.61860838537020524</v>
      </c>
    </row>
    <row r="63" spans="8:9">
      <c r="H63">
        <f>PEARSON(H2:H61, I2:I61)</f>
        <v>0.99127030408583439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5704CCB8E6A254D9F4DA0114AAE7F8F" ma:contentTypeVersion="12" ma:contentTypeDescription="Create a new document." ma:contentTypeScope="" ma:versionID="ad60b1ba44dd86da0ec642859c8a8b06">
  <xsd:schema xmlns:xsd="http://www.w3.org/2001/XMLSchema" xmlns:xs="http://www.w3.org/2001/XMLSchema" xmlns:p="http://schemas.microsoft.com/office/2006/metadata/properties" xmlns:ns2="13fc6561-b2eb-4772-a2db-3f884538a52c" xmlns:ns3="e1c63bbf-29ef-46cb-8c10-871b85c4cd0f" targetNamespace="http://schemas.microsoft.com/office/2006/metadata/properties" ma:root="true" ma:fieldsID="39b07ff85707dd1b034617b2065a345f" ns2:_="" ns3:_="">
    <xsd:import namespace="13fc6561-b2eb-4772-a2db-3f884538a52c"/>
    <xsd:import namespace="e1c63bbf-29ef-46cb-8c10-871b85c4cd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fc6561-b2eb-4772-a2db-3f884538a52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c63bbf-29ef-46cb-8c10-871b85c4cd0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f5f53fc-1dfd-462d-9582-2b3cd4df1e33}" ma:internalName="TaxCatchAll" ma:showField="CatchAllData" ma:web="e1c63bbf-29ef-46cb-8c10-871b85c4cd0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1c63bbf-29ef-46cb-8c10-871b85c4cd0f" xsi:nil="true"/>
    <lcf76f155ced4ddcb4097134ff3c332f xmlns="13fc6561-b2eb-4772-a2db-3f884538a52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E96808E-3E00-4118-8FB3-2DF73B6D5C53}"/>
</file>

<file path=customXml/itemProps2.xml><?xml version="1.0" encoding="utf-8"?>
<ds:datastoreItem xmlns:ds="http://schemas.openxmlformats.org/officeDocument/2006/customXml" ds:itemID="{88024739-8357-4455-B6F8-186010A6E90F}"/>
</file>

<file path=customXml/itemProps3.xml><?xml version="1.0" encoding="utf-8"?>
<ds:datastoreItem xmlns:ds="http://schemas.openxmlformats.org/officeDocument/2006/customXml" ds:itemID="{5DC5C0DC-3338-4824-A8BF-FB39D276CEB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Linder, Emily</cp:lastModifiedBy>
  <cp:revision/>
  <dcterms:created xsi:type="dcterms:W3CDTF">2026-07-17T13:14:04Z</dcterms:created>
  <dcterms:modified xsi:type="dcterms:W3CDTF">2026-07-22T13:28:11Z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0x01010065704CCB8E6A254D9F4DA0114AAE7F8F</vt:lpwstr>
  </property>
  <property fmtid="{D5CDD505-2E9C-101B-9397-08002B2CF9AE}" pid="3" name="MediaServiceImageTags">
    <vt:lpwstr/>
  </property>
</Properties>
</file>